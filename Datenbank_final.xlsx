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ec85f54b3d292c/Dokumente/car/"/>
    </mc:Choice>
  </mc:AlternateContent>
  <xr:revisionPtr revIDLastSave="125" documentId="8_{5FCB7FB3-C1B5-4392-99D9-39C83914440D}" xr6:coauthVersionLast="47" xr6:coauthVersionMax="47" xr10:uidLastSave="{3B5F1666-FB4C-43DC-AA97-C4BDFDD66625}"/>
  <bookViews>
    <workbookView xWindow="-110" yWindow="-110" windowWidth="19420" windowHeight="10300" tabRatio="848" activeTab="2" xr2:uid="{898908C1-D021-4765-97F9-4D5D3690D18B}"/>
  </bookViews>
  <sheets>
    <sheet name="Vehicle information" sheetId="1" r:id="rId1"/>
    <sheet name="Vehicle-station" sheetId="2" r:id="rId2"/>
    <sheet name="Charging station" sheetId="3" r:id="rId3"/>
    <sheet name="Temperatur" sheetId="4" r:id="rId4"/>
    <sheet name="Service Car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1" i="1" l="1"/>
  <c r="D3" i="1"/>
  <c r="C11" i="1"/>
  <c r="C13" i="1" l="1"/>
  <c r="C12" i="1"/>
  <c r="C10" i="1"/>
  <c r="C9" i="1"/>
  <c r="C8" i="1"/>
  <c r="C7" i="1"/>
  <c r="C6" i="1"/>
  <c r="C5" i="1"/>
  <c r="C4" i="1"/>
  <c r="C3" i="1"/>
  <c r="B2" i="1"/>
</calcChain>
</file>

<file path=xl/sharedStrings.xml><?xml version="1.0" encoding="utf-8"?>
<sst xmlns="http://schemas.openxmlformats.org/spreadsheetml/2006/main" count="191" uniqueCount="129">
  <si>
    <t>Segment</t>
  </si>
  <si>
    <t>Minis</t>
  </si>
  <si>
    <t>Kleinwagen</t>
  </si>
  <si>
    <t>Kompaktklasse</t>
  </si>
  <si>
    <t>Mittelklasse</t>
  </si>
  <si>
    <t>Obere Mittelklasse</t>
  </si>
  <si>
    <t>Oberklasse</t>
  </si>
  <si>
    <t>Vans</t>
  </si>
  <si>
    <t>16,84,28.82</t>
  </si>
  <si>
    <t>85,450,163.1</t>
  </si>
  <si>
    <t>130,178,164.5</t>
  </si>
  <si>
    <t>125,185,134.3</t>
  </si>
  <si>
    <t>42,86,64</t>
  </si>
  <si>
    <t>103,190,149.93</t>
  </si>
  <si>
    <t>135,600,327.25</t>
  </si>
  <si>
    <t>115,200,158.2</t>
  </si>
  <si>
    <t>23,97,67</t>
  </si>
  <si>
    <t>105,700,395</t>
  </si>
  <si>
    <t>115,238,167.95</t>
  </si>
  <si>
    <t>135,260,170.1</t>
  </si>
  <si>
    <t>47.8,113,81.4</t>
  </si>
  <si>
    <t>260,700,488</t>
  </si>
  <si>
    <t>122,238,168</t>
  </si>
  <si>
    <t>150,261,194.5</t>
  </si>
  <si>
    <t>70,115.5,94.5</t>
  </si>
  <si>
    <t>123,257,184.5</t>
  </si>
  <si>
    <t>336,700,513.7</t>
  </si>
  <si>
    <t>180,250,203.7</t>
  </si>
  <si>
    <t>60,113,95.1</t>
  </si>
  <si>
    <t>335,690,510.3</t>
  </si>
  <si>
    <t>96,245,185.3</t>
  </si>
  <si>
    <t>160,322,231.5</t>
  </si>
  <si>
    <t>33,100,61.9</t>
  </si>
  <si>
    <t>120,370,230</t>
  </si>
  <si>
    <t>194,295,249.6</t>
  </si>
  <si>
    <t>120,180,136.1</t>
  </si>
  <si>
    <t>35.8,170,83.5</t>
  </si>
  <si>
    <t>116,460,310.6</t>
  </si>
  <si>
    <t>210,420,296.3</t>
  </si>
  <si>
    <t>105,800,410.6</t>
  </si>
  <si>
    <t>200,932,402</t>
  </si>
  <si>
    <t>700,1420,1218.7</t>
  </si>
  <si>
    <t>150,800,416.7</t>
  </si>
  <si>
    <t>125,700,360</t>
  </si>
  <si>
    <t>800,2000,1350</t>
  </si>
  <si>
    <t>50,100,130</t>
  </si>
  <si>
    <t>50,80,80</t>
  </si>
  <si>
    <t>50,60,60</t>
  </si>
  <si>
    <t>PKW</t>
  </si>
  <si>
    <t xml:space="preserve">Bus </t>
  </si>
  <si>
    <t>43kW, AC</t>
  </si>
  <si>
    <t>150kW, DC</t>
  </si>
  <si>
    <t>X</t>
  </si>
  <si>
    <t xml:space="preserve">AC, 3,7 kW </t>
  </si>
  <si>
    <t>5-10%</t>
  </si>
  <si>
    <t>AC, 7,4 - 11 kW</t>
  </si>
  <si>
    <t>AC, 22 kW</t>
  </si>
  <si>
    <t>AC, 43 kW</t>
  </si>
  <si>
    <t>---</t>
  </si>
  <si>
    <t>DC, 50 kW</t>
  </si>
  <si>
    <t>DC, 75 kW</t>
  </si>
  <si>
    <t>DC, 150 kW</t>
  </si>
  <si>
    <t>DC, 300 kW, 350 kW</t>
  </si>
  <si>
    <t>0-100%</t>
  </si>
  <si>
    <t>10-80%</t>
  </si>
  <si>
    <t>6-8%</t>
  </si>
  <si>
    <t>min,max,average</t>
  </si>
  <si>
    <t>24,80,118</t>
  </si>
  <si>
    <t>86,118,103</t>
  </si>
  <si>
    <t>360,540,461</t>
  </si>
  <si>
    <t>192,322,225</t>
  </si>
  <si>
    <t>180,262,217</t>
  </si>
  <si>
    <t>30,80,80</t>
  </si>
  <si>
    <t>30,60,60</t>
  </si>
  <si>
    <t>Temperatur</t>
  </si>
  <si>
    <t xml:space="preserve">Range km </t>
  </si>
  <si>
    <t xml:space="preserve">Top speed km/h </t>
  </si>
  <si>
    <t>Average speed km/h</t>
  </si>
  <si>
    <t>50 kW, DC</t>
  </si>
  <si>
    <t>75 kW, DC</t>
  </si>
  <si>
    <t>15,30,45</t>
  </si>
  <si>
    <t>Capacity % (min,max)</t>
  </si>
  <si>
    <t>Chargingstation (kW)</t>
  </si>
  <si>
    <t>Charge loss</t>
  </si>
  <si>
    <t xml:space="preserve">Socket AC, 2,3 kW </t>
  </si>
  <si>
    <t>Privat/Public</t>
  </si>
  <si>
    <t>Public</t>
  </si>
  <si>
    <t>Privat</t>
  </si>
  <si>
    <t>Quantity</t>
  </si>
  <si>
    <t>Percentage</t>
  </si>
  <si>
    <t>Socket, 2,3 kW, AC</t>
  </si>
  <si>
    <t>From 300 kW, DC</t>
  </si>
  <si>
    <t>0° to 15°</t>
  </si>
  <si>
    <t>15° to 35°</t>
  </si>
  <si>
    <t>35° to 40°</t>
  </si>
  <si>
    <t>-20° to -10°</t>
  </si>
  <si>
    <t>-10° to 0°</t>
  </si>
  <si>
    <t>LWK (under 7,5t)</t>
  </si>
  <si>
    <t>LWK (over 7,5t)</t>
  </si>
  <si>
    <t>&gt; 30</t>
  </si>
  <si>
    <t>30 - 50</t>
  </si>
  <si>
    <t>50 - 70</t>
  </si>
  <si>
    <t>70 - 100</t>
  </si>
  <si>
    <t>&gt; 100</t>
  </si>
  <si>
    <t>Speed km/h</t>
  </si>
  <si>
    <t>Percentage %</t>
  </si>
  <si>
    <t>LKW (under 7,5t)</t>
  </si>
  <si>
    <t>LKW (over 7,5t)</t>
  </si>
  <si>
    <t>3,7 - 22 kW, AC</t>
  </si>
  <si>
    <t>Percentage of public station</t>
  </si>
  <si>
    <t>Range %    (min,max)</t>
  </si>
  <si>
    <t>45 - 55</t>
  </si>
  <si>
    <t>55 - 70</t>
  </si>
  <si>
    <t>95 - 100</t>
  </si>
  <si>
    <t>70 - 90</t>
  </si>
  <si>
    <t>95 - 90</t>
  </si>
  <si>
    <t>40 - 50</t>
  </si>
  <si>
    <t>50 - 75</t>
  </si>
  <si>
    <t>75 - 90</t>
  </si>
  <si>
    <t>75 - 95</t>
  </si>
  <si>
    <t>10-30%</t>
  </si>
  <si>
    <t>urban, rural, highway</t>
  </si>
  <si>
    <t>Nominal Capacity kWh</t>
  </si>
  <si>
    <t xml:space="preserve">Consumption Wh/km </t>
  </si>
  <si>
    <t xml:space="preserve">Limit speed km/h </t>
  </si>
  <si>
    <t>SUV</t>
  </si>
  <si>
    <t>Van</t>
  </si>
  <si>
    <t>Private/Public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</si>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</sst>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9" fontId="4" fillId="0" borderId="1" xfId="0" applyNumberFormat="1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15" fontId="5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top"/>
    </xf>
    <xf numFmtId="0" fontId="7" fillId="3" borderId="1" xfId="0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top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 applyAlignment="1">
      <alignment horizont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</cellXfs>
  <cellStyles count="3">
    <cellStyle name="Standard" xfId="0" builtinId="0"/>
    <cellStyle name="style1676025405039" xfId="2" xr:uid="{434502C3-6FA3-4A54-B2D7-10D12130BC30}"/>
    <cellStyle name="style1676029619857 2" xfId="1" xr:uid="{CBA910E0-AA37-4AF2-8983-23E25B2221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B7DB-9220-4611-BFB1-DAA21B66B0A5}">
  <dimension ref="A1:U13"/>
  <sheetViews>
    <sheetView zoomScale="90" zoomScaleNormal="90" workbookViewId="0">
      <selection activeCell="E1" sqref="E1"/>
    </sheetView>
  </sheetViews>
  <sheetFormatPr baseColWidth="10" defaultRowHeight="14.5" x14ac:dyDescent="0.35"/>
  <cols>
    <col min="1" max="1" width="23.08984375" customWidth="1"/>
    <col min="2" max="2" width="10.90625" customWidth="1"/>
    <col min="5" max="5" width="23.54296875" customWidth="1"/>
    <col min="6" max="6" width="20.7265625" customWidth="1"/>
    <col min="7" max="7" width="21.1796875" customWidth="1"/>
    <col min="8" max="8" width="20.81640625" customWidth="1"/>
    <col min="9" max="9" width="26.7265625" customWidth="1"/>
    <col min="10" max="10" width="20.7265625" customWidth="1"/>
    <col min="11" max="11" width="15.26953125" customWidth="1"/>
  </cols>
  <sheetData>
    <row r="1" spans="1:21" s="1" customFormat="1" x14ac:dyDescent="0.35">
      <c r="A1" s="11" t="s">
        <v>0</v>
      </c>
      <c r="B1" s="6" t="s">
        <v>88</v>
      </c>
      <c r="C1" s="6" t="s">
        <v>89</v>
      </c>
      <c r="D1" s="6"/>
      <c r="E1" s="7" t="s">
        <v>122</v>
      </c>
      <c r="F1" s="7" t="s">
        <v>75</v>
      </c>
      <c r="G1" s="7" t="s">
        <v>123</v>
      </c>
      <c r="H1" s="7" t="s">
        <v>76</v>
      </c>
      <c r="I1" s="7" t="s">
        <v>124</v>
      </c>
      <c r="J1" s="7" t="s">
        <v>77</v>
      </c>
      <c r="K1" s="19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35">
      <c r="A2" s="12">
        <v>45658</v>
      </c>
      <c r="B2" s="8">
        <f>SUM(B3:B13)</f>
        <v>1738619</v>
      </c>
      <c r="C2" s="9">
        <v>1</v>
      </c>
      <c r="D2" s="9">
        <f>SUM(D3:D13)</f>
        <v>1.0000736115049647</v>
      </c>
      <c r="E2" s="4" t="s">
        <v>66</v>
      </c>
      <c r="F2" s="4" t="s">
        <v>66</v>
      </c>
      <c r="G2" s="4" t="s">
        <v>66</v>
      </c>
      <c r="H2" s="4" t="s">
        <v>66</v>
      </c>
      <c r="I2" s="4" t="s">
        <v>121</v>
      </c>
      <c r="J2" s="4" t="s">
        <v>121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35">
      <c r="A3" s="13" t="s">
        <v>1</v>
      </c>
      <c r="B3" s="14">
        <v>244602</v>
      </c>
      <c r="C3" s="10">
        <f>B3/1738519</f>
        <v>0.14069561506086503</v>
      </c>
      <c r="D3" s="10">
        <f>SUM(C3:C9)</f>
        <v>0.92191802332905182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45</v>
      </c>
      <c r="J3" s="4" t="s">
        <v>67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x14ac:dyDescent="0.35">
      <c r="A4" s="13" t="s">
        <v>2</v>
      </c>
      <c r="B4" s="14">
        <v>238476</v>
      </c>
      <c r="C4" s="10">
        <f t="shared" ref="C4:C13" si="0">B4/1738519</f>
        <v>0.13717192621996077</v>
      </c>
      <c r="D4" s="10"/>
      <c r="E4" s="4" t="s">
        <v>12</v>
      </c>
      <c r="F4" s="4" t="s">
        <v>14</v>
      </c>
      <c r="G4" s="4" t="s">
        <v>13</v>
      </c>
      <c r="H4" s="4" t="s">
        <v>15</v>
      </c>
      <c r="I4" s="4" t="s">
        <v>45</v>
      </c>
      <c r="J4" s="4" t="s">
        <v>67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 x14ac:dyDescent="0.35">
      <c r="A5" s="13" t="s">
        <v>3</v>
      </c>
      <c r="B5" s="14">
        <v>231966</v>
      </c>
      <c r="C5" s="10">
        <f t="shared" si="0"/>
        <v>0.13342735972399497</v>
      </c>
      <c r="D5" s="10"/>
      <c r="E5" s="4" t="s">
        <v>16</v>
      </c>
      <c r="F5" s="4" t="s">
        <v>17</v>
      </c>
      <c r="G5" s="4" t="s">
        <v>18</v>
      </c>
      <c r="H5" s="4" t="s">
        <v>19</v>
      </c>
      <c r="I5" s="4" t="s">
        <v>45</v>
      </c>
      <c r="J5" s="4" t="s">
        <v>67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x14ac:dyDescent="0.35">
      <c r="A6" s="13" t="s">
        <v>4</v>
      </c>
      <c r="B6" s="14">
        <v>131526</v>
      </c>
      <c r="C6" s="10">
        <f t="shared" si="0"/>
        <v>7.5654048071950891E-2</v>
      </c>
      <c r="D6" s="10"/>
      <c r="E6" s="4" t="s">
        <v>20</v>
      </c>
      <c r="F6" s="4" t="s">
        <v>21</v>
      </c>
      <c r="G6" s="4" t="s">
        <v>22</v>
      </c>
      <c r="H6" s="4" t="s">
        <v>23</v>
      </c>
      <c r="I6" s="4" t="s">
        <v>45</v>
      </c>
      <c r="J6" s="4" t="s">
        <v>67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x14ac:dyDescent="0.35">
      <c r="A7" s="13" t="s">
        <v>5</v>
      </c>
      <c r="B7" s="14">
        <v>38071</v>
      </c>
      <c r="C7" s="10">
        <f t="shared" si="0"/>
        <v>2.1898523973566005E-2</v>
      </c>
      <c r="D7" s="10"/>
      <c r="E7" s="4" t="s">
        <v>24</v>
      </c>
      <c r="F7" s="4" t="s">
        <v>26</v>
      </c>
      <c r="G7" s="4" t="s">
        <v>25</v>
      </c>
      <c r="H7" s="4" t="s">
        <v>27</v>
      </c>
      <c r="I7" s="4" t="s">
        <v>45</v>
      </c>
      <c r="J7" s="4" t="s">
        <v>67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x14ac:dyDescent="0.35">
      <c r="A8" s="13" t="s">
        <v>6</v>
      </c>
      <c r="B8" s="14">
        <v>36462</v>
      </c>
      <c r="C8" s="10">
        <f t="shared" si="0"/>
        <v>2.0973023590768924E-2</v>
      </c>
      <c r="D8" s="10"/>
      <c r="E8" s="4" t="s">
        <v>28</v>
      </c>
      <c r="F8" s="4" t="s">
        <v>29</v>
      </c>
      <c r="G8" s="4" t="s">
        <v>30</v>
      </c>
      <c r="H8" s="4" t="s">
        <v>31</v>
      </c>
      <c r="I8" s="4" t="s">
        <v>45</v>
      </c>
      <c r="J8" s="4" t="s">
        <v>67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x14ac:dyDescent="0.35">
      <c r="A9" s="15" t="s">
        <v>125</v>
      </c>
      <c r="B9" s="8">
        <v>681669</v>
      </c>
      <c r="C9" s="10">
        <f t="shared" si="0"/>
        <v>0.39209752668794534</v>
      </c>
      <c r="D9" s="10"/>
      <c r="E9" s="4" t="s">
        <v>68</v>
      </c>
      <c r="F9" s="4" t="s">
        <v>69</v>
      </c>
      <c r="G9" s="4" t="s">
        <v>70</v>
      </c>
      <c r="H9" s="4" t="s">
        <v>71</v>
      </c>
      <c r="I9" s="4" t="s">
        <v>45</v>
      </c>
      <c r="J9" s="4" t="s">
        <v>67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 x14ac:dyDescent="0.35">
      <c r="A10" s="13" t="s">
        <v>126</v>
      </c>
      <c r="B10" s="14">
        <v>40103</v>
      </c>
      <c r="C10" s="10">
        <f t="shared" si="0"/>
        <v>2.3067334898266859E-2</v>
      </c>
      <c r="D10" s="10">
        <v>2.3099999999999999E-2</v>
      </c>
      <c r="E10" s="4" t="s">
        <v>32</v>
      </c>
      <c r="F10" s="4" t="s">
        <v>33</v>
      </c>
      <c r="G10" s="4" t="s">
        <v>34</v>
      </c>
      <c r="H10" s="4" t="s">
        <v>35</v>
      </c>
      <c r="I10" s="4" t="s">
        <v>45</v>
      </c>
      <c r="J10" s="4" t="s">
        <v>67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x14ac:dyDescent="0.35">
      <c r="A11" s="13" t="s">
        <v>97</v>
      </c>
      <c r="B11" s="14">
        <v>39588</v>
      </c>
      <c r="C11" s="10">
        <f t="shared" si="0"/>
        <v>2.2771105751504584E-2</v>
      </c>
      <c r="D11" s="10">
        <f>SUM(C11:C12)</f>
        <v>5.3155588175912941E-2</v>
      </c>
      <c r="E11" s="4" t="s">
        <v>36</v>
      </c>
      <c r="F11" s="4" t="s">
        <v>37</v>
      </c>
      <c r="G11" s="4" t="s">
        <v>38</v>
      </c>
      <c r="H11" s="4"/>
      <c r="I11" s="4" t="s">
        <v>46</v>
      </c>
      <c r="J11" s="4" t="s">
        <v>72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 x14ac:dyDescent="0.35">
      <c r="A12" s="13" t="s">
        <v>98</v>
      </c>
      <c r="B12" s="14">
        <v>52824</v>
      </c>
      <c r="C12" s="10">
        <f t="shared" si="0"/>
        <v>3.038448242440836E-2</v>
      </c>
      <c r="D12" s="10"/>
      <c r="E12" s="4" t="s">
        <v>39</v>
      </c>
      <c r="F12" s="4" t="s">
        <v>40</v>
      </c>
      <c r="G12" s="4" t="s">
        <v>41</v>
      </c>
      <c r="H12" s="4"/>
      <c r="I12" s="4" t="s">
        <v>47</v>
      </c>
      <c r="J12" s="4" t="s">
        <v>73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x14ac:dyDescent="0.35">
      <c r="A13" s="13" t="s">
        <v>49</v>
      </c>
      <c r="B13" s="16">
        <v>3332</v>
      </c>
      <c r="C13" s="10">
        <f t="shared" si="0"/>
        <v>1.9165738194405698E-3</v>
      </c>
      <c r="D13" s="10">
        <v>1.9E-3</v>
      </c>
      <c r="E13" s="4" t="s">
        <v>42</v>
      </c>
      <c r="F13" s="4" t="s">
        <v>43</v>
      </c>
      <c r="G13" s="4" t="s">
        <v>44</v>
      </c>
      <c r="H13" s="4"/>
      <c r="I13" s="4" t="s">
        <v>47</v>
      </c>
      <c r="J13" s="4" t="s">
        <v>80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8F03-71F8-493F-9FFC-1C8095F88496}">
  <dimension ref="A1:H6"/>
  <sheetViews>
    <sheetView workbookViewId="0">
      <selection activeCell="B3" sqref="B3"/>
    </sheetView>
  </sheetViews>
  <sheetFormatPr baseColWidth="10" defaultRowHeight="14.5" x14ac:dyDescent="0.35"/>
  <cols>
    <col min="1" max="1" width="20.26953125" customWidth="1"/>
    <col min="2" max="8" width="13.6328125" customWidth="1"/>
  </cols>
  <sheetData>
    <row r="1" spans="1:8" ht="30.5" x14ac:dyDescent="0.35">
      <c r="A1" s="25" t="s">
        <v>0</v>
      </c>
      <c r="B1" s="26" t="s">
        <v>90</v>
      </c>
      <c r="C1" s="24" t="s">
        <v>108</v>
      </c>
      <c r="D1" s="24" t="s">
        <v>50</v>
      </c>
      <c r="E1" s="24" t="s">
        <v>78</v>
      </c>
      <c r="F1" s="24" t="s">
        <v>79</v>
      </c>
      <c r="G1" s="24" t="s">
        <v>51</v>
      </c>
      <c r="H1" s="24" t="s">
        <v>91</v>
      </c>
    </row>
    <row r="2" spans="1:8" ht="15.5" x14ac:dyDescent="0.35">
      <c r="A2" s="3" t="s">
        <v>48</v>
      </c>
      <c r="B2" s="5" t="s">
        <v>52</v>
      </c>
      <c r="C2" s="2" t="s">
        <v>52</v>
      </c>
      <c r="D2" s="2" t="s">
        <v>52</v>
      </c>
      <c r="E2" s="2" t="s">
        <v>52</v>
      </c>
      <c r="F2" s="2" t="s">
        <v>52</v>
      </c>
      <c r="G2" s="2" t="s">
        <v>52</v>
      </c>
      <c r="H2" s="2"/>
    </row>
    <row r="3" spans="1:8" ht="15.5" x14ac:dyDescent="0.35">
      <c r="A3" s="3" t="s">
        <v>7</v>
      </c>
      <c r="B3" s="5" t="s">
        <v>52</v>
      </c>
      <c r="C3" s="2" t="s">
        <v>52</v>
      </c>
      <c r="D3" s="2" t="s">
        <v>52</v>
      </c>
      <c r="E3" s="2" t="s">
        <v>52</v>
      </c>
      <c r="F3" s="2" t="s">
        <v>52</v>
      </c>
      <c r="G3" s="2" t="s">
        <v>52</v>
      </c>
      <c r="H3" s="2"/>
    </row>
    <row r="4" spans="1:8" ht="15.5" x14ac:dyDescent="0.35">
      <c r="A4" s="3" t="s">
        <v>106</v>
      </c>
      <c r="B4" s="3"/>
      <c r="C4" s="2"/>
      <c r="D4" s="2"/>
      <c r="E4" s="2" t="s">
        <v>52</v>
      </c>
      <c r="F4" s="2" t="s">
        <v>52</v>
      </c>
      <c r="G4" s="2" t="s">
        <v>52</v>
      </c>
      <c r="H4" s="2" t="s">
        <v>52</v>
      </c>
    </row>
    <row r="5" spans="1:8" ht="15.5" x14ac:dyDescent="0.35">
      <c r="A5" s="3" t="s">
        <v>107</v>
      </c>
      <c r="B5" s="3"/>
      <c r="C5" s="2"/>
      <c r="D5" s="2"/>
      <c r="E5" s="2" t="s">
        <v>52</v>
      </c>
      <c r="F5" s="2" t="s">
        <v>52</v>
      </c>
      <c r="G5" s="2" t="s">
        <v>52</v>
      </c>
      <c r="H5" s="2" t="s">
        <v>52</v>
      </c>
    </row>
    <row r="6" spans="1:8" ht="15.5" x14ac:dyDescent="0.35">
      <c r="A6" s="3" t="s">
        <v>49</v>
      </c>
      <c r="B6" s="3"/>
      <c r="C6" s="2"/>
      <c r="D6" s="2"/>
      <c r="E6" s="2" t="s">
        <v>52</v>
      </c>
      <c r="F6" s="2" t="s">
        <v>52</v>
      </c>
      <c r="G6" s="2" t="s">
        <v>52</v>
      </c>
      <c r="H6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115A-FCBE-407F-BC98-B09CD16672C8}">
  <dimension ref="A1:E10"/>
  <sheetViews>
    <sheetView tabSelected="1" workbookViewId="0">
      <selection activeCell="E1" sqref="E1"/>
    </sheetView>
  </sheetViews>
  <sheetFormatPr baseColWidth="10" defaultRowHeight="14.5" x14ac:dyDescent="0.35"/>
  <cols>
    <col min="1" max="1" width="24.453125" customWidth="1"/>
    <col min="2" max="2" width="16" customWidth="1"/>
    <col min="3" max="3" width="14.7265625" customWidth="1"/>
    <col min="4" max="4" width="18.90625" style="21" customWidth="1"/>
    <col min="5" max="5" width="16.7265625" customWidth="1"/>
  </cols>
  <sheetData>
    <row r="1" spans="1:5" ht="33" customHeight="1" x14ac:dyDescent="0.35">
      <c r="A1" s="24" t="s">
        <v>82</v>
      </c>
      <c r="B1" s="24" t="s">
        <v>83</v>
      </c>
      <c r="C1" s="25" t="s">
        <v>128</v>
      </c>
      <c r="D1" s="24" t="s">
        <v>127</v>
      </c>
      <c r="E1" s="24" t="s">
        <v>109</v>
      </c>
    </row>
    <row r="2" spans="1:5" ht="15.5" x14ac:dyDescent="0.35">
      <c r="A2" s="28" t="s">
        <v>84</v>
      </c>
      <c r="B2" s="29" t="s">
        <v>120</v>
      </c>
      <c r="C2" s="5" t="s">
        <v>63</v>
      </c>
      <c r="D2" s="5" t="s">
        <v>87</v>
      </c>
      <c r="E2" s="2"/>
    </row>
    <row r="3" spans="1:5" ht="15.5" x14ac:dyDescent="0.35">
      <c r="A3" s="30" t="s">
        <v>53</v>
      </c>
      <c r="B3" s="29" t="s">
        <v>54</v>
      </c>
      <c r="C3" s="5" t="s">
        <v>63</v>
      </c>
      <c r="D3" s="5" t="s">
        <v>85</v>
      </c>
      <c r="E3" s="31">
        <v>1.0999999999999999E-2</v>
      </c>
    </row>
    <row r="4" spans="1:5" ht="15.5" x14ac:dyDescent="0.35">
      <c r="A4" s="30" t="s">
        <v>55</v>
      </c>
      <c r="B4" s="29" t="s">
        <v>54</v>
      </c>
      <c r="C4" s="5" t="s">
        <v>63</v>
      </c>
      <c r="D4" s="5" t="s">
        <v>85</v>
      </c>
      <c r="E4" s="31">
        <v>0.17899999999999999</v>
      </c>
    </row>
    <row r="5" spans="1:5" ht="15.5" x14ac:dyDescent="0.35">
      <c r="A5" s="30" t="s">
        <v>56</v>
      </c>
      <c r="B5" s="29" t="s">
        <v>54</v>
      </c>
      <c r="C5" s="5" t="s">
        <v>63</v>
      </c>
      <c r="D5" s="5" t="s">
        <v>85</v>
      </c>
      <c r="E5" s="31">
        <v>0.57799999999999996</v>
      </c>
    </row>
    <row r="6" spans="1:5" ht="15.5" x14ac:dyDescent="0.35">
      <c r="A6" s="30" t="s">
        <v>57</v>
      </c>
      <c r="B6" s="29" t="s">
        <v>58</v>
      </c>
      <c r="C6" s="5" t="s">
        <v>63</v>
      </c>
      <c r="D6" s="5" t="s">
        <v>86</v>
      </c>
      <c r="E6" s="32">
        <v>0.01</v>
      </c>
    </row>
    <row r="7" spans="1:5" ht="15.5" x14ac:dyDescent="0.35">
      <c r="A7" s="30" t="s">
        <v>59</v>
      </c>
      <c r="B7" s="29" t="s">
        <v>65</v>
      </c>
      <c r="C7" s="5" t="s">
        <v>64</v>
      </c>
      <c r="D7" s="5" t="s">
        <v>86</v>
      </c>
      <c r="E7" s="31">
        <v>4.2000000000000003E-2</v>
      </c>
    </row>
    <row r="8" spans="1:5" ht="15.5" x14ac:dyDescent="0.35">
      <c r="A8" s="30" t="s">
        <v>60</v>
      </c>
      <c r="B8" s="29" t="s">
        <v>65</v>
      </c>
      <c r="C8" s="5" t="s">
        <v>64</v>
      </c>
      <c r="D8" s="5" t="s">
        <v>86</v>
      </c>
      <c r="E8" s="31">
        <v>1.6E-2</v>
      </c>
    </row>
    <row r="9" spans="1:5" ht="15.5" x14ac:dyDescent="0.35">
      <c r="A9" s="30" t="s">
        <v>61</v>
      </c>
      <c r="B9" s="29" t="s">
        <v>65</v>
      </c>
      <c r="C9" s="5" t="s">
        <v>64</v>
      </c>
      <c r="D9" s="5" t="s">
        <v>86</v>
      </c>
      <c r="E9" s="31">
        <v>9.6000000000000002E-2</v>
      </c>
    </row>
    <row r="10" spans="1:5" ht="15.5" x14ac:dyDescent="0.35">
      <c r="A10" s="30" t="s">
        <v>62</v>
      </c>
      <c r="B10" s="29" t="s">
        <v>65</v>
      </c>
      <c r="C10" s="5" t="s">
        <v>64</v>
      </c>
      <c r="D10" s="5" t="s">
        <v>86</v>
      </c>
      <c r="E10" s="31">
        <v>6.8000000000000005E-2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3A77-A033-46E3-BA69-8CC9A0A776E6}">
  <dimension ref="A1:C6"/>
  <sheetViews>
    <sheetView workbookViewId="0">
      <selection activeCell="C5" sqref="C5"/>
    </sheetView>
  </sheetViews>
  <sheetFormatPr baseColWidth="10" defaultRowHeight="14.5" x14ac:dyDescent="0.35"/>
  <cols>
    <col min="1" max="1" width="18.6328125" customWidth="1"/>
    <col min="2" max="2" width="21.54296875" customWidth="1"/>
    <col min="3" max="3" width="20.36328125" customWidth="1"/>
  </cols>
  <sheetData>
    <row r="1" spans="1:3" ht="30" x14ac:dyDescent="0.35">
      <c r="A1" s="25" t="s">
        <v>74</v>
      </c>
      <c r="B1" s="24" t="s">
        <v>81</v>
      </c>
      <c r="C1" s="24" t="s">
        <v>110</v>
      </c>
    </row>
    <row r="2" spans="1:3" ht="15.5" x14ac:dyDescent="0.35">
      <c r="A2" s="5" t="s">
        <v>95</v>
      </c>
      <c r="B2" s="2" t="s">
        <v>111</v>
      </c>
      <c r="C2" s="20" t="s">
        <v>116</v>
      </c>
    </row>
    <row r="3" spans="1:3" ht="15.5" x14ac:dyDescent="0.35">
      <c r="A3" s="5" t="s">
        <v>96</v>
      </c>
      <c r="B3" s="2" t="s">
        <v>112</v>
      </c>
      <c r="C3" s="20" t="s">
        <v>117</v>
      </c>
    </row>
    <row r="4" spans="1:3" ht="15.5" x14ac:dyDescent="0.35">
      <c r="A4" s="5" t="s">
        <v>92</v>
      </c>
      <c r="B4" s="2" t="s">
        <v>114</v>
      </c>
      <c r="C4" s="20" t="s">
        <v>118</v>
      </c>
    </row>
    <row r="5" spans="1:3" ht="15.5" x14ac:dyDescent="0.35">
      <c r="A5" s="5" t="s">
        <v>93</v>
      </c>
      <c r="B5" s="20" t="s">
        <v>113</v>
      </c>
      <c r="C5" s="20" t="s">
        <v>113</v>
      </c>
    </row>
    <row r="6" spans="1:3" ht="15.5" x14ac:dyDescent="0.35">
      <c r="A6" s="5" t="s">
        <v>94</v>
      </c>
      <c r="B6" s="2" t="s">
        <v>115</v>
      </c>
      <c r="C6" s="20" t="s">
        <v>119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FB84-6E59-47DD-963C-84A1473D38DB}">
  <dimension ref="A1:F9"/>
  <sheetViews>
    <sheetView workbookViewId="0">
      <selection sqref="A1:B6"/>
    </sheetView>
  </sheetViews>
  <sheetFormatPr baseColWidth="10" defaultRowHeight="14.5" x14ac:dyDescent="0.35"/>
  <cols>
    <col min="1" max="1" width="19.26953125" customWidth="1"/>
    <col min="2" max="2" width="22.08984375" customWidth="1"/>
  </cols>
  <sheetData>
    <row r="1" spans="1:6" ht="15.5" x14ac:dyDescent="0.35">
      <c r="A1" s="27" t="s">
        <v>104</v>
      </c>
      <c r="B1" s="27" t="s">
        <v>105</v>
      </c>
    </row>
    <row r="2" spans="1:6" ht="15.5" x14ac:dyDescent="0.35">
      <c r="A2" s="5" t="s">
        <v>99</v>
      </c>
      <c r="B2" s="5">
        <v>22</v>
      </c>
    </row>
    <row r="3" spans="1:6" ht="15.5" x14ac:dyDescent="0.35">
      <c r="A3" s="5" t="s">
        <v>100</v>
      </c>
      <c r="B3" s="5">
        <v>38</v>
      </c>
    </row>
    <row r="4" spans="1:6" ht="15.5" x14ac:dyDescent="0.35">
      <c r="A4" s="5" t="s">
        <v>101</v>
      </c>
      <c r="B4" s="5">
        <v>25</v>
      </c>
    </row>
    <row r="5" spans="1:6" ht="15.5" x14ac:dyDescent="0.35">
      <c r="A5" s="5" t="s">
        <v>102</v>
      </c>
      <c r="B5" s="5">
        <v>12</v>
      </c>
      <c r="E5" s="22"/>
      <c r="F5" s="23"/>
    </row>
    <row r="6" spans="1:6" ht="15.5" x14ac:dyDescent="0.35">
      <c r="A6" s="5" t="s">
        <v>103</v>
      </c>
      <c r="B6" s="5">
        <v>3</v>
      </c>
      <c r="E6" s="22"/>
      <c r="F6" s="23"/>
    </row>
    <row r="7" spans="1:6" ht="15.5" x14ac:dyDescent="0.35">
      <c r="E7" s="22"/>
      <c r="F7" s="23"/>
    </row>
    <row r="8" spans="1:6" ht="15.5" x14ac:dyDescent="0.35">
      <c r="E8" s="22"/>
      <c r="F8" s="23"/>
    </row>
    <row r="9" spans="1:6" ht="15.5" x14ac:dyDescent="0.35">
      <c r="E9" s="22"/>
      <c r="F9" s="2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Vehicle information</vt:lpstr>
      <vt:lpstr>Vehicle-station</vt:lpstr>
      <vt:lpstr>Charging station</vt:lpstr>
      <vt:lpstr>Temperatur</vt:lpstr>
      <vt:lpstr>Service 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2025-05-20T10:21:25Z</dcterms:created>
  <dcterms:modified xsi:type="dcterms:W3CDTF">2025-06-30T22:25:23Z</dcterms:modified>
</cp:coreProperties>
</file>